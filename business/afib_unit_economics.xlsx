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пущения" sheetId="1" state="visible" r:id="rId3"/>
    <sheet name="Плата и сборка" sheetId="2" state="visible" r:id="rId4"/>
    <sheet name="Юнит-экономика" sheetId="3" state="visible" r:id="rId5"/>
    <sheet name="Сравнение" sheetId="4" state="visible" r:id="rId6"/>
    <sheet name="Чего не хватает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<sst xmlns="http://schemas.openxmlformats.org/spreadsheetml/2006/main" count="226" uniqueCount="208">
  <si>
    <t xml:space="preserve">AFib Monitor — допущения для цены и юнит-экономики</t>
  </si>
  <si>
    <t xml:space="preserve">Синий текст — вводимые числа (меняйте их). Жёлтая заливка — главные рычаги и то, что нужно уточнить. Чёрный — формулы. Каждое число с источником в колонке D. Цены — без НДС и таможни.</t>
  </si>
  <si>
    <t xml:space="preserve">Показатель</t>
  </si>
  <si>
    <t xml:space="preserve">Значение</t>
  </si>
  <si>
    <t xml:space="preserve">Единица</t>
  </si>
  <si>
    <t xml:space="preserve">Источник / примечание</t>
  </si>
  <si>
    <t xml:space="preserve">Курс</t>
  </si>
  <si>
    <t xml:space="preserve">Курс доллара США (НБКР)</t>
  </si>
  <si>
    <t xml:space="preserve">сом / $</t>
  </si>
  <si>
    <t xml:space="preserve">НБКР, официальный курс на 17.10.2026: 87,4500 сом — nbkr.kg; economist.kg/dengi/2026/10/16/kursy-valyut-17-oktyabrya-2026/</t>
  </si>
  <si>
    <t xml:space="preserve">Детали серийного устройства (цена за 1 шт при партии 100+)</t>
  </si>
  <si>
    <t xml:space="preserve">Модуль ESP32-S3-MINI-1-N8 (BLE, процессор)</t>
  </si>
  <si>
    <t xml:space="preserve">$</t>
  </si>
  <si>
    <t xml:space="preserve">LCSC C2913206, цена при 100+ шт: $3.3787 (просмотрено 18.10.2026)</t>
  </si>
  <si>
    <t xml:space="preserve">Микросхема ЭКГ AD8232ACPZ-R7</t>
  </si>
  <si>
    <t xml:space="preserve">LCSC C43216, цена при 100+ шт: $5.6441 (просмотрено 18.10.2026)</t>
  </si>
  <si>
    <t xml:space="preserve">Аккумулятор LiPo 3.7 В 150 мА·ч</t>
  </si>
  <si>
    <t xml:space="preserve">Adafruit #1317, розница за 1 шт: $5.95 — верхняя граница, оптом дешевле</t>
  </si>
  <si>
    <t xml:space="preserve">Остальные детали платы, сама плата и сборка (лист «Плата и сборка»)</t>
  </si>
  <si>
    <t xml:space="preserve">Считается на листе «Плата и сборка» по ценам LCSC и тарифам JLCPCB. Корпус и кабель к электродам НЕ включены — нет данных.</t>
  </si>
  <si>
    <t xml:space="preserve">Расходники</t>
  </si>
  <si>
    <t xml:space="preserve">Одноразовый электрод ЭКГ (3M Red Dot 2560)</t>
  </si>
  <si>
    <t xml:space="preserve">$ / шт</t>
  </si>
  <si>
    <t xml:space="preserve">Tiger Medical: коробка 1000 шт $229.20, «$0.22 per piece» (просмотрено 18.10.2026)</t>
  </si>
  <si>
    <t xml:space="preserve">Электродов в месяц на одного пациента</t>
  </si>
  <si>
    <t xml:space="preserve">шт</t>
  </si>
  <si>
    <t xml:space="preserve">ДОПУЩЕНИЕ: 3 электрода, смена раз в 2 дня при постоянном ношении. Проверить на стенде и с пациентами.</t>
  </si>
  <si>
    <t xml:space="preserve">Сервер и магазины приложений</t>
  </si>
  <si>
    <t xml:space="preserve">Сервер Render (самый дешёвый платный)</t>
  </si>
  <si>
    <t xml:space="preserve">$ / мес</t>
  </si>
  <si>
    <t xml:space="preserve">render.com/pricing: «$7/month, 512 MB RAM»</t>
  </si>
  <si>
    <t xml:space="preserve">База Render Postgres (самая дешёвая платная)</t>
  </si>
  <si>
    <t xml:space="preserve">render.com/pricing: «$6/month, 256 MB RAM». Альтернатива — Neon: бесплатный план 0 $, платный без минимума (neon.com/pricing)</t>
  </si>
  <si>
    <t xml:space="preserve">Apple Developer Program</t>
  </si>
  <si>
    <t xml:space="preserve">$ / год</t>
  </si>
  <si>
    <t xml:space="preserve">developer.apple.com/programs: «$99 annual membership»</t>
  </si>
  <si>
    <t xml:space="preserve">Google Play, регистрация (разово)</t>
  </si>
  <si>
    <t xml:space="preserve">support.google.com/googleplay/android-developer/answer/6112435: «US$25 one-time registration fee»</t>
  </si>
  <si>
    <t xml:space="preserve">Комиссия магазина с подписки</t>
  </si>
  <si>
    <t xml:space="preserve">Apple Small Business Program: 15% при доходе до $1 млн (developer.apple.com/app-store/small-business-program)</t>
  </si>
  <si>
    <t xml:space="preserve">Доля подписок, оплачиваемых через магазин</t>
  </si>
  <si>
    <t xml:space="preserve">ДОПУЩЕНИЕ: 100% (осторожно). Если часть платит напрямую (Mbank, Элсом и т.п.), комиссия меньше.</t>
  </si>
  <si>
    <t xml:space="preserve">Наши цены (предложение — проверить опросом 20–30 пациентов и врачей)</t>
  </si>
  <si>
    <t xml:space="preserve">Цена устройства</t>
  </si>
  <si>
    <t xml:space="preserve">сом</t>
  </si>
  <si>
    <t xml:space="preserve">ПРЕДЛОЖЕНИЕ: ниже Kardia 6L Max в сомах и примерно 4 суточных Холтера; меняйте</t>
  </si>
  <si>
    <t xml:space="preserve">Подписка в месяц (без электродов)</t>
  </si>
  <si>
    <t xml:space="preserve">ПРЕДЛОЖЕНИЕ: меньше 1% средней зарплаты; меняйте</t>
  </si>
  <si>
    <t xml:space="preserve">Наценка на электроды, если продаём их пациенту</t>
  </si>
  <si>
    <t xml:space="preserve">ПРЕДЛОЖЕНИЕ: электроды продаются отдельно по себестоимости + наценка</t>
  </si>
  <si>
    <t xml:space="preserve">Ориентиры рынка</t>
  </si>
  <si>
    <t xml:space="preserve">Суточный Холтер — МЦ HUMAN (Бишкек)</t>
  </si>
  <si>
    <t xml:space="preserve">med.human.kg/holter-ekg: «Суточное холтеровское мониторирование ЭКГ — 1500 сом»</t>
  </si>
  <si>
    <t xml:space="preserve">Суточный Холтер — kardiocentr.kg (Бишкек)</t>
  </si>
  <si>
    <t xml:space="preserve">kardiocentr.kg/czeny: «Суточное ЭКГ-мониторирование (Холтер) — 1800 сом»</t>
  </si>
  <si>
    <t xml:space="preserve">Консультация кардиолога (первичная) — kardiocentr.kg</t>
  </si>
  <si>
    <t xml:space="preserve">kardiocentr.kg/czeny</t>
  </si>
  <si>
    <t xml:space="preserve">ЭКГ — kardiocentr.kg</t>
  </si>
  <si>
    <t xml:space="preserve">KardiaMobile 6L Max (AliveCor, США)</t>
  </si>
  <si>
    <t xml:space="preserve">kardia.com/products/kardiamobile-6l-max: «$149.00»</t>
  </si>
  <si>
    <t xml:space="preserve">KardiaCare Plus, подписка</t>
  </si>
  <si>
    <t xml:space="preserve">kardia.com/products/kardiacareplus: «$199/year»</t>
  </si>
  <si>
    <t xml:space="preserve">Средняя зарплата в Кыргызстане (янв–май 2026)</t>
  </si>
  <si>
    <t xml:space="preserve">сом / мес</t>
  </si>
  <si>
    <t xml:space="preserve">Нацстатком через economist.kg, 15.07.2026: «51 тысячи 888 сомов»</t>
  </si>
  <si>
    <t xml:space="preserve">Постоянное население на начало 2026</t>
  </si>
  <si>
    <t xml:space="preserve">чел.</t>
  </si>
  <si>
    <t xml:space="preserve">Нацстатком (демографический ежегодник) через economist.kg, 05.10.2026</t>
  </si>
  <si>
    <t xml:space="preserve">Население 65+ на начало 2026</t>
  </si>
  <si>
    <t xml:space="preserve">economist.kg, 05.10.2026: «6.4%, или более 475 тысяч человек»</t>
  </si>
  <si>
    <t xml:space="preserve">Распространённость ФП у взрослых (нижняя оценка)</t>
  </si>
  <si>
    <t xml:space="preserve">«AF is estimated to affect 2-4% of the adult population worldwide» — Lancet Reg Health West Pac 2022 (PMC9252928), со ссылкой на ESC 2020. Для КР своих данных не нашёл.</t>
  </si>
  <si>
    <t xml:space="preserve">Плата и сборка: детали (LCSC) и сборка (JLCPCB, Economic PCBA)</t>
  </si>
  <si>
    <t xml:space="preserve">Цены деталей — за 1 шт при ~100 шт (если нет тарифа 100+ — ближайший). Пайки — по числу выводов корпуса, ОЦЕНКА: проверить по футпринтам. Главные детали (ESP32, AD8232, аккумулятор) — на листе «Допущения».</t>
  </si>
  <si>
    <t xml:space="preserve">Деталь</t>
  </si>
  <si>
    <t xml:space="preserve">Номер LCSC</t>
  </si>
  <si>
    <t xml:space="preserve">Кол-во</t>
  </si>
  <si>
    <t xml:space="preserve">Цена, $</t>
  </si>
  <si>
    <t xml:space="preserve">Паек на шт</t>
  </si>
  <si>
    <t xml:space="preserve">Сумма, $</t>
  </si>
  <si>
    <t xml:space="preserve">Зарядка LiPo MCP73831T-2ACI/OT</t>
  </si>
  <si>
    <t xml:space="preserve">C424093</t>
  </si>
  <si>
    <t xml:space="preserve">lcsc.com/product-detail/C424093.html, 100+: $0.4483</t>
  </si>
  <si>
    <t xml:space="preserve">Стабилизатор 3.3 В ME6211C33M5G-N</t>
  </si>
  <si>
    <t xml:space="preserve">C82942</t>
  </si>
  <si>
    <t xml:space="preserve">lcsc.com/product-detail/C82942.html, 100+: $0.0503</t>
  </si>
  <si>
    <t xml:space="preserve">Разъём USB-C TYPE-C-31-M-12 (16 конт.)</t>
  </si>
  <si>
    <t xml:space="preserve">C165948</t>
  </si>
  <si>
    <t xml:space="preserve">lcsc.com/product-detail/C165948.html, 50+: $0.1368 (тарифа 100+ нет)</t>
  </si>
  <si>
    <t xml:space="preserve">Гнездо 3.5 мм для кабеля электродов KH-PJ-321A-SMT</t>
  </si>
  <si>
    <t xml:space="preserve">C5123133</t>
  </si>
  <si>
    <t xml:space="preserve">lcsc.com/product-detail/C5123133.html, 50+: $0.0819 (большая из двух цен)</t>
  </si>
  <si>
    <t xml:space="preserve">Разъём аккумулятора JST B2B-PH-K-S (выводной)</t>
  </si>
  <si>
    <t xml:space="preserve">C131337</t>
  </si>
  <si>
    <t xml:space="preserve">lcsc.com/product-detail/C131337.html, 20+: $0.0358; паяется вручную</t>
  </si>
  <si>
    <t xml:space="preserve">Резисторы 0402 (обвязка AD8232, делитель батареи, светодиод)</t>
  </si>
  <si>
    <t xml:space="preserve">C25744</t>
  </si>
  <si>
    <t xml:space="preserve">lcsc.com/product-detail/C25744.html, 100+: $0.0016. Количество — ОЦЕНКА по типовой схеме AD8232</t>
  </si>
  <si>
    <t xml:space="preserve">Конденсаторы 0402 100 нФ и др.</t>
  </si>
  <si>
    <t xml:space="preserve">C1525</t>
  </si>
  <si>
    <t xml:space="preserve">lcsc.com/product-detail/C1525.html, 100+: $0.004. Количество — ОЦЕНКА</t>
  </si>
  <si>
    <t xml:space="preserve">ESP32-S3-MINI-1 и AD8232 (пайки; цены — на листе «Допущения»)</t>
  </si>
  <si>
    <t xml:space="preserve">ОЦЕНКА: 65 площадок модуля + 21 у AD8232 (LFCSP-20 + теплоотвод); проверить по футпринтам</t>
  </si>
  <si>
    <t xml:space="preserve">Цена 5 плат 2 слоя до 100×100 мм (акция)</t>
  </si>
  <si>
    <t xml:space="preserve">lcsc.com/pcba/price: «1-2 layer, 100x100mm … the pcb cost is $2»; для партии 100 шт уточнить калькулятором</t>
  </si>
  <si>
    <t xml:space="preserve">Плат в партии</t>
  </si>
  <si>
    <t xml:space="preserve">Меняйте</t>
  </si>
  <si>
    <t xml:space="preserve">Типов «Extended»-деталей (за каждый — загрузка питателя)</t>
  </si>
  <si>
    <t xml:space="preserve">Допущение: ESP32, AD8232, MCP73831, USB-C, гнездо 3.5 мм, ME6211 — все Extended</t>
  </si>
  <si>
    <t xml:space="preserve">SMT-пайка, $ за пайку (Economic)</t>
  </si>
  <si>
    <t xml:space="preserve">jlcpcb.com/help/article/pcb-assembly-price: 1–100 000 паек</t>
  </si>
  <si>
    <t xml:space="preserve">Ручная сборка, $ за пайку</t>
  </si>
  <si>
    <t xml:space="preserve">там же: 1–10 000 паек</t>
  </si>
  <si>
    <t xml:space="preserve">Наладка (Economic), за заказ</t>
  </si>
  <si>
    <t xml:space="preserve">там же</t>
  </si>
  <si>
    <t xml:space="preserve">Трафарет (Economic), за заказ</t>
  </si>
  <si>
    <t xml:space="preserve">Загрузка питателя за Extended-деталь</t>
  </si>
  <si>
    <t xml:space="preserve">там же: «$3.07 for Extended»</t>
  </si>
  <si>
    <t xml:space="preserve">Ручная пайка, за заказ</t>
  </si>
  <si>
    <t xml:space="preserve">там же: «Hand-soldering labor $3.58 per order»</t>
  </si>
  <si>
    <t xml:space="preserve">Мелкие детали на плату</t>
  </si>
  <si>
    <t xml:space="preserve">Паек SMT на плату</t>
  </si>
  <si>
    <t xml:space="preserve">Без выводного разъёма аккумулятора</t>
  </si>
  <si>
    <t xml:space="preserve">SMT-пайка на плату</t>
  </si>
  <si>
    <t xml:space="preserve">Ручная пайка разъёма на плату</t>
  </si>
  <si>
    <t xml:space="preserve">Сама плата, за 1 шт</t>
  </si>
  <si>
    <t xml:space="preserve">Постоянные расходы на партию</t>
  </si>
  <si>
    <t xml:space="preserve">Наладка + трафарет + питатели + ручная пайка</t>
  </si>
  <si>
    <t xml:space="preserve">Постоянные расходы на 1 плату</t>
  </si>
  <si>
    <t xml:space="preserve">ИТОГО на одну плату (без ESP32, AD8232, аккумулятора, корпуса)</t>
  </si>
  <si>
    <t xml:space="preserve">Идёт в «Допущения» → себестоимость устройства</t>
  </si>
  <si>
    <t xml:space="preserve">Юнит-экономика (все суммы в сомах, без НДС и таможни)</t>
  </si>
  <si>
    <t xml:space="preserve">Устройство</t>
  </si>
  <si>
    <t xml:space="preserve">Себестоимость платы с деталями и сборкой, $</t>
  </si>
  <si>
    <t xml:space="preserve">Без корпуса и кабеля к электродам</t>
  </si>
  <si>
    <t xml:space="preserve">Себестоимость платы с деталями и сборкой, сом</t>
  </si>
  <si>
    <t xml:space="preserve">Валовая маржа на устройстве (без корпуса)</t>
  </si>
  <si>
    <t xml:space="preserve">Завышена на стоимость корпуса, кабеля, упаковки, доставки и пошлин</t>
  </si>
  <si>
    <t xml:space="preserve">Маржа, % от цены</t>
  </si>
  <si>
    <t xml:space="preserve">Подписка — в месяц, по числу подписчиков</t>
  </si>
  <si>
    <t xml:space="preserve">Подписчиков</t>
  </si>
  <si>
    <t xml:space="preserve">Сценарии — меняйте числа</t>
  </si>
  <si>
    <t xml:space="preserve">Выручка от подписки на 1 подписчика</t>
  </si>
  <si>
    <t xml:space="preserve">Комиссия магазина на 1 подписчика</t>
  </si>
  <si>
    <t xml:space="preserve">Сервер + база на 1 подписчика</t>
  </si>
  <si>
    <t xml:space="preserve">Постоянные $13/мес делятся на всех</t>
  </si>
  <si>
    <t xml:space="preserve">Магазины приложений на 1 подписчика</t>
  </si>
  <si>
    <t xml:space="preserve">Apple $99/год; Google $25 разово не включён</t>
  </si>
  <si>
    <t xml:space="preserve">Вклад 1 подписчика в месяц (без электродов)</t>
  </si>
  <si>
    <t xml:space="preserve">Сколько остаётся на зарплаты, поддержку, регистрацию</t>
  </si>
  <si>
    <t xml:space="preserve">Вклад всех подписчиков в месяц</t>
  </si>
  <si>
    <t xml:space="preserve">Вклад всех подписчиков в год</t>
  </si>
  <si>
    <t xml:space="preserve">Электроды — главный расход</t>
  </si>
  <si>
    <t xml:space="preserve">Электроды на 1 пациента в месяц, себестоимость</t>
  </si>
  <si>
    <t xml:space="preserve">Больше самой подписки при постоянном ношении — см. вывод</t>
  </si>
  <si>
    <t xml:space="preserve">Цена набора электродов на месяц для пациента</t>
  </si>
  <si>
    <t xml:space="preserve">Если продаём отдельно с наценкой</t>
  </si>
  <si>
    <t xml:space="preserve">Себестоимость электродов / подписка</t>
  </si>
  <si>
    <t xml:space="preserve">Итого пациент платит в месяц (подписка + электроды)</t>
  </si>
  <si>
    <t xml:space="preserve">То же, % от средней зарплаты</t>
  </si>
  <si>
    <t xml:space="preserve">Точка безубыточности по постоянным расходам сервиса</t>
  </si>
  <si>
    <t xml:space="preserve">Постоянные расходы сервиса в месяц</t>
  </si>
  <si>
    <t xml:space="preserve">Вклад 1 подписчика до постоянных расходов</t>
  </si>
  <si>
    <t xml:space="preserve">Подписчиков, чтобы окупить сервер и магазины</t>
  </si>
  <si>
    <t xml:space="preserve">Без зарплат, регистрации, маркетинга</t>
  </si>
  <si>
    <t xml:space="preserve">Что платит пациент за год (сом)</t>
  </si>
  <si>
    <t xml:space="preserve">Вариант</t>
  </si>
  <si>
    <t xml:space="preserve">Первый год</t>
  </si>
  <si>
    <t xml:space="preserve">% средней зарплаты за год</t>
  </si>
  <si>
    <t xml:space="preserve">Что получает</t>
  </si>
  <si>
    <t xml:space="preserve">AFib Monitor: устройство + 12 мес подписки + электроды</t>
  </si>
  <si>
    <t xml:space="preserve">Постоянное наблюдение, проверка 30 с, отчёт врачу</t>
  </si>
  <si>
    <t xml:space="preserve">AFib Monitor без постоянного ношения (электроды не нужны каждый день)</t>
  </si>
  <si>
    <t xml:space="preserve">Если носить только при симптомах — проверить, сколько реально электродов</t>
  </si>
  <si>
    <t xml:space="preserve">Суточный Холтер 4 раза в год (HUMAN)</t>
  </si>
  <si>
    <t xml:space="preserve">4 суток наблюдения в год</t>
  </si>
  <si>
    <t xml:space="preserve">Суточный Холтер 4 раза в год (kardiocentr.kg)</t>
  </si>
  <si>
    <t xml:space="preserve">KardiaMobile 6L Max + KardiaCare Plus (цены США)</t>
  </si>
  <si>
    <t xml:space="preserve">Запись ЭКГ по требованию; цены США без доставки и пошлин — сравнение только по цене</t>
  </si>
  <si>
    <t xml:space="preserve">Размер рынка — грубо</t>
  </si>
  <si>
    <t xml:space="preserve">Людей 65+ с ФП, если доля как у взрослых в мире (нижняя оценка 2%)</t>
  </si>
  <si>
    <t xml:space="preserve">Занижено: у пожилых ФП встречается чаще, чем у взрослых в среднем; данных по КР не нашёл</t>
  </si>
  <si>
    <t xml:space="preserve">Подписчиков для окупаемости сервера (из «Юнит-экономики»)</t>
  </si>
  <si>
    <t xml:space="preserve">Чего не хватает для полной себестоимости</t>
  </si>
  <si>
    <t xml:space="preserve">Что</t>
  </si>
  <si>
    <t xml:space="preserve">Почему важно</t>
  </si>
  <si>
    <t xml:space="preserve">Кто</t>
  </si>
  <si>
    <t xml:space="preserve">Корпус и кабель к электродам; точная цена платы для 100 шт</t>
  </si>
  <si>
    <t xml:space="preserve">Плата и сборка посчитаны по тарифам, но корпус не посчитан; цена самой платы взята как акция $2 за 5 шт</t>
  </si>
  <si>
    <t xml:space="preserve">Я: схема в KiCad → калькулятор JLCPCB; корпус — 3D-печать или литьё</t>
  </si>
  <si>
    <t xml:space="preserve">Регистрация медизделия в ЕАЭС / КР: класс, сроки, стоимость испытаний</t>
  </si>
  <si>
    <t xml:space="preserve">Без регистрации — только wellness-формулировки; это главная статья затрат и срок выхода</t>
  </si>
  <si>
    <t xml:space="preserve">Юрист / регулятор (ДЛОиМТ МЗ КР) — нужен человек</t>
  </si>
  <si>
    <t xml:space="preserve">Таможня и НДС на ввоз деталей и устройств</t>
  </si>
  <si>
    <t xml:space="preserve">Цены в файле без НДС и пошлин</t>
  </si>
  <si>
    <t xml:space="preserve">Таможенный брокер / бухгалтер</t>
  </si>
  <si>
    <t xml:space="preserve">Налоговый режим ИП (патент / единый налог)</t>
  </si>
  <si>
    <t xml:space="preserve">Влияет на чистую прибыль</t>
  </si>
  <si>
    <t xml:space="preserve">Бухгалтер</t>
  </si>
  <si>
    <t xml:space="preserve">Сколько электродов реально уходит в месяц</t>
  </si>
  <si>
    <t xml:space="preserve">Главный расход; допущение 45 шт — не измерено</t>
  </si>
  <si>
    <t xml:space="preserve">Стенд + 5–10 пациентов</t>
  </si>
  <si>
    <t xml:space="preserve">Цена электродов у местных поставщиков (Бишкек, Гуанчжоу)</t>
  </si>
  <si>
    <t xml:space="preserve">Может быть заметно ниже $0.22</t>
  </si>
  <si>
    <t xml:space="preserve">Вы: поставщики в Гуанчжоу</t>
  </si>
  <si>
    <t xml:space="preserve">Готовность платить: опрос пациентов и кардиологов</t>
  </si>
  <si>
    <t xml:space="preserve">Цены 6 900 сом и 390 сом/мес — предложение, не проверено</t>
  </si>
  <si>
    <t xml:space="preserve">Вы + я (анкета)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</si>
</sst>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\$#,##0.00;&quot;($&quot;#,##0.00\);\-"/>
    <numFmt numFmtId="167" formatCode="#,##0;\(#,##0\);\-"/>
    <numFmt numFmtId="168" formatCode="0.0%;\(0.0%\);\-"/>
    <numFmt numFmtId="169" formatCode="#,##0&quot; сом&quot;;\(#,##0&quot; сом)&quot;;\-"/>
    <numFmt numFmtId="170" formatCode="\$0.0000"/>
    <numFmt numFmtId="171" formatCode="\$0.00"/>
    <numFmt numFmtId="172" formatCode="0"/>
    <numFmt numFmtId="173" formatCode="\$0.000"/>
    <numFmt numFmtId="174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EEF5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6</v>
      </c>
    </row>
    <row r="5" customFormat="false" ht="22.35" hidden="false" customHeight="false" outlineLevel="0" collapsed="false">
      <c r="A5" s="5" t="s">
        <v>7</v>
      </c>
      <c r="B5" s="6" t="n">
        <v>87.45</v>
      </c>
      <c r="C5" s="7" t="s">
        <v>8</v>
      </c>
      <c r="D5" s="8" t="s">
        <v>9</v>
      </c>
    </row>
    <row r="6" customFormat="false" ht="15" hidden="false" customHeight="false" outlineLevel="0" collapsed="false">
      <c r="A6" s="4" t="s">
        <v>10</v>
      </c>
    </row>
    <row r="7" customFormat="false" ht="15" hidden="false" customHeight="false" outlineLevel="0" collapsed="false">
      <c r="A7" s="5" t="s">
        <v>11</v>
      </c>
      <c r="B7" s="9" t="n">
        <v>3.3787</v>
      </c>
      <c r="C7" s="7" t="s">
        <v>12</v>
      </c>
      <c r="D7" s="8" t="s">
        <v>13</v>
      </c>
    </row>
    <row r="8" customFormat="false" ht="15" hidden="false" customHeight="false" outlineLevel="0" collapsed="false">
      <c r="A8" s="5" t="s">
        <v>14</v>
      </c>
      <c r="B8" s="9" t="n">
        <v>5.6441</v>
      </c>
      <c r="C8" s="7" t="s">
        <v>12</v>
      </c>
      <c r="D8" s="8" t="s">
        <v>15</v>
      </c>
    </row>
    <row r="9" customFormat="false" ht="15" hidden="false" customHeight="false" outlineLevel="0" collapsed="false">
      <c r="A9" s="5" t="s">
        <v>16</v>
      </c>
      <c r="B9" s="9" t="n">
        <v>5.95</v>
      </c>
      <c r="C9" s="7" t="s">
        <v>12</v>
      </c>
      <c r="D9" s="8" t="s">
        <v>17</v>
      </c>
    </row>
    <row r="10" customFormat="false" ht="22.35" hidden="false" customHeight="false" outlineLevel="0" collapsed="false">
      <c r="A10" s="5" t="s">
        <v>18</v>
      </c>
      <c r="B10" s="10" t="n">
        <f aca="false">'Плата и сборка'!$B$31</f>
        <v>1.855</v>
      </c>
      <c r="C10" s="7" t="s">
        <v>12</v>
      </c>
      <c r="D10" s="8" t="s">
        <v>19</v>
      </c>
    </row>
    <row r="11" customFormat="false" ht="15" hidden="false" customHeight="false" outlineLevel="0" collapsed="false">
      <c r="A11" s="4" t="s">
        <v>20</v>
      </c>
    </row>
    <row r="12" customFormat="false" ht="15" hidden="false" customHeight="false" outlineLevel="0" collapsed="false">
      <c r="A12" s="5" t="s">
        <v>21</v>
      </c>
      <c r="B12" s="9" t="n">
        <v>0.22</v>
      </c>
      <c r="C12" s="7" t="s">
        <v>22</v>
      </c>
      <c r="D12" s="8" t="s">
        <v>23</v>
      </c>
    </row>
    <row r="13" customFormat="false" ht="15" hidden="false" customHeight="false" outlineLevel="0" collapsed="false">
      <c r="A13" s="5" t="s">
        <v>24</v>
      </c>
      <c r="B13" s="11" t="n">
        <v>45</v>
      </c>
      <c r="C13" s="7" t="s">
        <v>25</v>
      </c>
      <c r="D13" s="8" t="s">
        <v>26</v>
      </c>
    </row>
    <row r="14" customFormat="false" ht="15" hidden="false" customHeight="false" outlineLevel="0" collapsed="false">
      <c r="A14" s="4" t="s">
        <v>27</v>
      </c>
    </row>
    <row r="15" customFormat="false" ht="15" hidden="false" customHeight="false" outlineLevel="0" collapsed="false">
      <c r="A15" s="5" t="s">
        <v>28</v>
      </c>
      <c r="B15" s="9" t="n">
        <v>7</v>
      </c>
      <c r="C15" s="7" t="s">
        <v>29</v>
      </c>
      <c r="D15" s="8" t="s">
        <v>30</v>
      </c>
    </row>
    <row r="16" customFormat="false" ht="22.35" hidden="false" customHeight="false" outlineLevel="0" collapsed="false">
      <c r="A16" s="5" t="s">
        <v>31</v>
      </c>
      <c r="B16" s="9" t="n">
        <v>6</v>
      </c>
      <c r="C16" s="7" t="s">
        <v>29</v>
      </c>
      <c r="D16" s="8" t="s">
        <v>32</v>
      </c>
    </row>
    <row r="17" customFormat="false" ht="15" hidden="false" customHeight="false" outlineLevel="0" collapsed="false">
      <c r="A17" s="5" t="s">
        <v>33</v>
      </c>
      <c r="B17" s="9" t="n">
        <v>99</v>
      </c>
      <c r="C17" s="7" t="s">
        <v>34</v>
      </c>
      <c r="D17" s="8" t="s">
        <v>35</v>
      </c>
    </row>
    <row r="18" customFormat="false" ht="15" hidden="false" customHeight="false" outlineLevel="0" collapsed="false">
      <c r="A18" s="5" t="s">
        <v>36</v>
      </c>
      <c r="B18" s="9" t="n">
        <v>25</v>
      </c>
      <c r="C18" s="7" t="s">
        <v>12</v>
      </c>
      <c r="D18" s="8" t="s">
        <v>37</v>
      </c>
    </row>
    <row r="19" customFormat="false" ht="15" hidden="false" customHeight="false" outlineLevel="0" collapsed="false">
      <c r="A19" s="5" t="s">
        <v>38</v>
      </c>
      <c r="B19" s="12" t="n">
        <v>0.15</v>
      </c>
      <c r="C19" s="7"/>
      <c r="D19" s="8" t="s">
        <v>39</v>
      </c>
    </row>
    <row r="20" customFormat="false" ht="15" hidden="false" customHeight="false" outlineLevel="0" collapsed="false">
      <c r="A20" s="5" t="s">
        <v>40</v>
      </c>
      <c r="B20" s="13" t="n">
        <v>1</v>
      </c>
      <c r="C20" s="7"/>
      <c r="D20" s="8" t="s">
        <v>41</v>
      </c>
    </row>
    <row r="21" customFormat="false" ht="15" hidden="false" customHeight="false" outlineLevel="0" collapsed="false">
      <c r="A21" s="4" t="s">
        <v>42</v>
      </c>
    </row>
    <row r="22" customFormat="false" ht="15" hidden="false" customHeight="false" outlineLevel="0" collapsed="false">
      <c r="A22" s="5" t="s">
        <v>43</v>
      </c>
      <c r="B22" s="14" t="n">
        <v>6900</v>
      </c>
      <c r="C22" s="7" t="s">
        <v>44</v>
      </c>
      <c r="D22" s="8" t="s">
        <v>45</v>
      </c>
    </row>
    <row r="23" customFormat="false" ht="15" hidden="false" customHeight="false" outlineLevel="0" collapsed="false">
      <c r="A23" s="5" t="s">
        <v>46</v>
      </c>
      <c r="B23" s="14" t="n">
        <v>390</v>
      </c>
      <c r="C23" s="7" t="s">
        <v>44</v>
      </c>
      <c r="D23" s="8" t="s">
        <v>47</v>
      </c>
    </row>
    <row r="24" customFormat="false" ht="15" hidden="false" customHeight="false" outlineLevel="0" collapsed="false">
      <c r="A24" s="5" t="s">
        <v>48</v>
      </c>
      <c r="B24" s="13" t="n">
        <v>0.2</v>
      </c>
      <c r="C24" s="7"/>
      <c r="D24" s="8" t="s">
        <v>49</v>
      </c>
    </row>
    <row r="25" customFormat="false" ht="15" hidden="false" customHeight="false" outlineLevel="0" collapsed="false">
      <c r="A25" s="4" t="s">
        <v>50</v>
      </c>
    </row>
    <row r="26" customFormat="false" ht="15" hidden="false" customHeight="false" outlineLevel="0" collapsed="false">
      <c r="A26" s="5" t="s">
        <v>51</v>
      </c>
      <c r="B26" s="15" t="n">
        <v>1500</v>
      </c>
      <c r="C26" s="7" t="s">
        <v>44</v>
      </c>
      <c r="D26" s="8" t="s">
        <v>52</v>
      </c>
    </row>
    <row r="27" customFormat="false" ht="15" hidden="false" customHeight="false" outlineLevel="0" collapsed="false">
      <c r="A27" s="5" t="s">
        <v>53</v>
      </c>
      <c r="B27" s="15" t="n">
        <v>1800</v>
      </c>
      <c r="C27" s="7" t="s">
        <v>44</v>
      </c>
      <c r="D27" s="8" t="s">
        <v>54</v>
      </c>
    </row>
    <row r="28" customFormat="false" ht="15" hidden="false" customHeight="false" outlineLevel="0" collapsed="false">
      <c r="A28" s="5" t="s">
        <v>55</v>
      </c>
      <c r="B28" s="15" t="n">
        <v>1300</v>
      </c>
      <c r="C28" s="7" t="s">
        <v>44</v>
      </c>
      <c r="D28" s="8" t="s">
        <v>56</v>
      </c>
    </row>
    <row r="29" customFormat="false" ht="15" hidden="false" customHeight="false" outlineLevel="0" collapsed="false">
      <c r="A29" s="5" t="s">
        <v>57</v>
      </c>
      <c r="B29" s="15" t="n">
        <v>700</v>
      </c>
      <c r="C29" s="7" t="s">
        <v>44</v>
      </c>
      <c r="D29" s="8" t="s">
        <v>56</v>
      </c>
    </row>
    <row r="30" customFormat="false" ht="15" hidden="false" customHeight="false" outlineLevel="0" collapsed="false">
      <c r="A30" s="5" t="s">
        <v>58</v>
      </c>
      <c r="B30" s="9" t="n">
        <v>149</v>
      </c>
      <c r="C30" s="7" t="s">
        <v>12</v>
      </c>
      <c r="D30" s="8" t="s">
        <v>59</v>
      </c>
    </row>
    <row r="31" customFormat="false" ht="15" hidden="false" customHeight="false" outlineLevel="0" collapsed="false">
      <c r="A31" s="5" t="s">
        <v>60</v>
      </c>
      <c r="B31" s="9" t="n">
        <v>199</v>
      </c>
      <c r="C31" s="7" t="s">
        <v>34</v>
      </c>
      <c r="D31" s="8" t="s">
        <v>61</v>
      </c>
    </row>
    <row r="32" customFormat="false" ht="15" hidden="false" customHeight="false" outlineLevel="0" collapsed="false">
      <c r="A32" s="5" t="s">
        <v>62</v>
      </c>
      <c r="B32" s="15" t="n">
        <v>51888</v>
      </c>
      <c r="C32" s="7" t="s">
        <v>63</v>
      </c>
      <c r="D32" s="8" t="s">
        <v>64</v>
      </c>
    </row>
    <row r="33" customFormat="false" ht="15" hidden="false" customHeight="false" outlineLevel="0" collapsed="false">
      <c r="A33" s="5" t="s">
        <v>65</v>
      </c>
      <c r="B33" s="16" t="n">
        <v>7404000</v>
      </c>
      <c r="C33" s="7" t="s">
        <v>66</v>
      </c>
      <c r="D33" s="8" t="s">
        <v>67</v>
      </c>
    </row>
    <row r="34" customFormat="false" ht="15" hidden="false" customHeight="false" outlineLevel="0" collapsed="false">
      <c r="A34" s="5" t="s">
        <v>68</v>
      </c>
      <c r="B34" s="16" t="n">
        <v>475000</v>
      </c>
      <c r="C34" s="7" t="s">
        <v>66</v>
      </c>
      <c r="D34" s="8" t="s">
        <v>69</v>
      </c>
    </row>
    <row r="35" customFormat="false" ht="22.35" hidden="false" customHeight="false" outlineLevel="0" collapsed="false">
      <c r="A35" s="5" t="s">
        <v>70</v>
      </c>
      <c r="B35" s="12" t="n">
        <v>0.02</v>
      </c>
      <c r="C35" s="7"/>
      <c r="D35" s="8" t="s">
        <v>71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72</v>
      </c>
    </row>
    <row r="2" customFormat="false" ht="30" hidden="false" customHeight="true" outlineLevel="0" collapsed="false">
      <c r="A2" s="2" t="s">
        <v>73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74</v>
      </c>
      <c r="B3" s="3" t="s">
        <v>75</v>
      </c>
      <c r="C3" s="3" t="s">
        <v>76</v>
      </c>
      <c r="D3" s="3" t="s">
        <v>77</v>
      </c>
      <c r="E3" s="3" t="s">
        <v>78</v>
      </c>
      <c r="F3" s="3" t="s">
        <v>79</v>
      </c>
      <c r="G3" s="3" t="s">
        <v>5</v>
      </c>
    </row>
    <row r="4" customFormat="false" ht="15" hidden="false" customHeight="false" outlineLevel="0" collapsed="false">
      <c r="A4" s="0" t="s">
        <v>80</v>
      </c>
      <c r="B4" s="0" t="s">
        <v>81</v>
      </c>
      <c r="C4" s="17" t="n">
        <v>1</v>
      </c>
      <c r="D4" s="18" t="n">
        <v>0.4483</v>
      </c>
      <c r="E4" s="17" t="n">
        <v>5</v>
      </c>
      <c r="F4" s="19" t="n">
        <f aca="false">C4*D4</f>
        <v>0.4483</v>
      </c>
      <c r="G4" s="8" t="s">
        <v>82</v>
      </c>
    </row>
    <row r="5" customFormat="false" ht="15" hidden="false" customHeight="false" outlineLevel="0" collapsed="false">
      <c r="A5" s="0" t="s">
        <v>83</v>
      </c>
      <c r="B5" s="0" t="s">
        <v>84</v>
      </c>
      <c r="C5" s="17" t="n">
        <v>1</v>
      </c>
      <c r="D5" s="18" t="n">
        <v>0.0503</v>
      </c>
      <c r="E5" s="17" t="n">
        <v>5</v>
      </c>
      <c r="F5" s="19" t="n">
        <f aca="false">C5*D5</f>
        <v>0.0503</v>
      </c>
      <c r="G5" s="8" t="s">
        <v>85</v>
      </c>
    </row>
    <row r="6" customFormat="false" ht="15" hidden="false" customHeight="false" outlineLevel="0" collapsed="false">
      <c r="A6" s="0" t="s">
        <v>86</v>
      </c>
      <c r="B6" s="0" t="s">
        <v>87</v>
      </c>
      <c r="C6" s="17" t="n">
        <v>1</v>
      </c>
      <c r="D6" s="18" t="n">
        <v>0.1368</v>
      </c>
      <c r="E6" s="17" t="n">
        <v>20</v>
      </c>
      <c r="F6" s="19" t="n">
        <f aca="false">C6*D6</f>
        <v>0.1368</v>
      </c>
      <c r="G6" s="8" t="s">
        <v>88</v>
      </c>
    </row>
    <row r="7" customFormat="false" ht="15" hidden="false" customHeight="false" outlineLevel="0" collapsed="false">
      <c r="A7" s="0" t="s">
        <v>89</v>
      </c>
      <c r="B7" s="0" t="s">
        <v>90</v>
      </c>
      <c r="C7" s="17" t="n">
        <v>1</v>
      </c>
      <c r="D7" s="18" t="n">
        <v>0.0819</v>
      </c>
      <c r="E7" s="17" t="n">
        <v>5</v>
      </c>
      <c r="F7" s="19" t="n">
        <f aca="false">C7*D7</f>
        <v>0.0819</v>
      </c>
      <c r="G7" s="8" t="s">
        <v>91</v>
      </c>
    </row>
    <row r="8" customFormat="false" ht="15" hidden="false" customHeight="false" outlineLevel="0" collapsed="false">
      <c r="A8" s="0" t="s">
        <v>92</v>
      </c>
      <c r="B8" s="0" t="s">
        <v>93</v>
      </c>
      <c r="C8" s="17" t="n">
        <v>1</v>
      </c>
      <c r="D8" s="18" t="n">
        <v>0.0358</v>
      </c>
      <c r="E8" s="17" t="n">
        <v>2</v>
      </c>
      <c r="F8" s="19" t="n">
        <f aca="false">C8*D8</f>
        <v>0.0358</v>
      </c>
      <c r="G8" s="8" t="s">
        <v>94</v>
      </c>
    </row>
    <row r="9" customFormat="false" ht="22.35" hidden="false" customHeight="false" outlineLevel="0" collapsed="false">
      <c r="A9" s="0" t="s">
        <v>95</v>
      </c>
      <c r="B9" s="0" t="s">
        <v>96</v>
      </c>
      <c r="C9" s="17" t="n">
        <v>12</v>
      </c>
      <c r="D9" s="18" t="n">
        <v>0.0016</v>
      </c>
      <c r="E9" s="17" t="n">
        <v>2</v>
      </c>
      <c r="F9" s="19" t="n">
        <f aca="false">C9*D9</f>
        <v>0.0192</v>
      </c>
      <c r="G9" s="8" t="s">
        <v>97</v>
      </c>
    </row>
    <row r="10" customFormat="false" ht="15" hidden="false" customHeight="false" outlineLevel="0" collapsed="false">
      <c r="A10" s="0" t="s">
        <v>98</v>
      </c>
      <c r="B10" s="0" t="s">
        <v>99</v>
      </c>
      <c r="C10" s="17" t="n">
        <v>14</v>
      </c>
      <c r="D10" s="18" t="n">
        <v>0.004</v>
      </c>
      <c r="E10" s="17" t="n">
        <v>2</v>
      </c>
      <c r="F10" s="19" t="n">
        <f aca="false">C10*D10</f>
        <v>0.056</v>
      </c>
      <c r="G10" s="8" t="s">
        <v>100</v>
      </c>
    </row>
    <row r="11" customFormat="false" ht="15" hidden="false" customHeight="false" outlineLevel="0" collapsed="false">
      <c r="A11" s="0" t="s">
        <v>101</v>
      </c>
      <c r="C11" s="0" t="n">
        <v>1</v>
      </c>
      <c r="E11" s="17" t="n">
        <v>86</v>
      </c>
      <c r="G11" s="7" t="s">
        <v>102</v>
      </c>
    </row>
    <row r="13" customFormat="false" ht="15" hidden="false" customHeight="false" outlineLevel="0" collapsed="false">
      <c r="A13" s="0" t="s">
        <v>103</v>
      </c>
      <c r="B13" s="20" t="n">
        <v>2</v>
      </c>
      <c r="G13" s="7" t="s">
        <v>104</v>
      </c>
    </row>
    <row r="14" customFormat="false" ht="15" hidden="false" customHeight="false" outlineLevel="0" collapsed="false">
      <c r="A14" s="0" t="s">
        <v>105</v>
      </c>
      <c r="B14" s="21" t="n">
        <v>100</v>
      </c>
      <c r="G14" s="7" t="s">
        <v>106</v>
      </c>
    </row>
    <row r="15" customFormat="false" ht="15" hidden="false" customHeight="false" outlineLevel="0" collapsed="false">
      <c r="A15" s="0" t="s">
        <v>107</v>
      </c>
      <c r="B15" s="21" t="n">
        <v>6</v>
      </c>
      <c r="G15" s="7" t="s">
        <v>108</v>
      </c>
    </row>
    <row r="16" customFormat="false" ht="15" hidden="false" customHeight="false" outlineLevel="0" collapsed="false">
      <c r="A16" s="0" t="s">
        <v>109</v>
      </c>
      <c r="B16" s="18" t="n">
        <v>0.0016</v>
      </c>
      <c r="G16" s="7" t="s">
        <v>110</v>
      </c>
    </row>
    <row r="17" customFormat="false" ht="15" hidden="false" customHeight="false" outlineLevel="0" collapsed="false">
      <c r="A17" s="0" t="s">
        <v>111</v>
      </c>
      <c r="B17" s="18" t="n">
        <v>0.0164</v>
      </c>
      <c r="G17" s="7" t="s">
        <v>112</v>
      </c>
    </row>
    <row r="18" customFormat="false" ht="15" hidden="false" customHeight="false" outlineLevel="0" collapsed="false">
      <c r="A18" s="0" t="s">
        <v>113</v>
      </c>
      <c r="B18" s="22" t="n">
        <v>8.18</v>
      </c>
      <c r="G18" s="7" t="s">
        <v>114</v>
      </c>
    </row>
    <row r="19" customFormat="false" ht="15" hidden="false" customHeight="false" outlineLevel="0" collapsed="false">
      <c r="A19" s="0" t="s">
        <v>115</v>
      </c>
      <c r="B19" s="22" t="n">
        <v>1.53</v>
      </c>
      <c r="G19" s="7" t="s">
        <v>114</v>
      </c>
    </row>
    <row r="20" customFormat="false" ht="15" hidden="false" customHeight="false" outlineLevel="0" collapsed="false">
      <c r="A20" s="0" t="s">
        <v>116</v>
      </c>
      <c r="B20" s="22" t="n">
        <v>3.07</v>
      </c>
      <c r="G20" s="7" t="s">
        <v>117</v>
      </c>
    </row>
    <row r="21" customFormat="false" ht="15" hidden="false" customHeight="false" outlineLevel="0" collapsed="false">
      <c r="A21" s="0" t="s">
        <v>118</v>
      </c>
      <c r="B21" s="22" t="n">
        <v>3.58</v>
      </c>
      <c r="G21" s="7" t="s">
        <v>119</v>
      </c>
    </row>
    <row r="23" customFormat="false" ht="15" hidden="false" customHeight="false" outlineLevel="0" collapsed="false">
      <c r="A23" s="0" t="s">
        <v>120</v>
      </c>
      <c r="B23" s="23" t="n">
        <f aca="false">SUM(F4:F10)</f>
        <v>0.8283</v>
      </c>
      <c r="G23" s="7"/>
    </row>
    <row r="24" customFormat="false" ht="15" hidden="false" customHeight="false" outlineLevel="0" collapsed="false">
      <c r="A24" s="0" t="s">
        <v>121</v>
      </c>
      <c r="B24" s="24" t="n">
        <f aca="false">SUMPRODUCT(C4:C11,E4:E11)-C8*E8</f>
        <v>173</v>
      </c>
      <c r="G24" s="7" t="s">
        <v>122</v>
      </c>
    </row>
    <row r="25" customFormat="false" ht="15" hidden="false" customHeight="false" outlineLevel="0" collapsed="false">
      <c r="A25" s="0" t="s">
        <v>123</v>
      </c>
      <c r="B25" s="23" t="n">
        <f aca="false">B24*B16</f>
        <v>0.2768</v>
      </c>
      <c r="G25" s="7"/>
    </row>
    <row r="26" customFormat="false" ht="15" hidden="false" customHeight="false" outlineLevel="0" collapsed="false">
      <c r="A26" s="0" t="s">
        <v>124</v>
      </c>
      <c r="B26" s="23" t="n">
        <f aca="false">C8*E8*B17</f>
        <v>0.0328</v>
      </c>
      <c r="G26" s="7"/>
    </row>
    <row r="27" customFormat="false" ht="15" hidden="false" customHeight="false" outlineLevel="0" collapsed="false">
      <c r="A27" s="0" t="s">
        <v>125</v>
      </c>
      <c r="B27" s="23" t="n">
        <f aca="false">B13/5</f>
        <v>0.4</v>
      </c>
      <c r="G27" s="7"/>
    </row>
    <row r="28" customFormat="false" ht="15" hidden="false" customHeight="false" outlineLevel="0" collapsed="false">
      <c r="A28" s="0" t="s">
        <v>126</v>
      </c>
      <c r="B28" s="25" t="n">
        <f aca="false">B18+B19+B15*B20+B21</f>
        <v>31.71</v>
      </c>
      <c r="G28" s="7" t="s">
        <v>127</v>
      </c>
    </row>
    <row r="29" customFormat="false" ht="15" hidden="false" customHeight="false" outlineLevel="0" collapsed="false">
      <c r="A29" s="0" t="s">
        <v>128</v>
      </c>
      <c r="B29" s="23" t="n">
        <f aca="false">IF(B14=0,0,B28/B14)</f>
        <v>0.3171</v>
      </c>
      <c r="G29" s="7"/>
    </row>
    <row r="31" customFormat="false" ht="15" hidden="false" customHeight="false" outlineLevel="0" collapsed="false">
      <c r="A31" s="4" t="s">
        <v>129</v>
      </c>
      <c r="B31" s="26" t="n">
        <f aca="false">B23+B25+B26+B27+B29</f>
        <v>1.855</v>
      </c>
      <c r="G31" s="7" t="s">
        <v>130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131</v>
      </c>
    </row>
    <row r="3" customFormat="false" ht="15" hidden="false" customHeight="false" outlineLevel="0" collapsed="false">
      <c r="A3" s="4" t="s">
        <v>132</v>
      </c>
    </row>
    <row r="4" customFormat="false" ht="15" hidden="false" customHeight="false" outlineLevel="0" collapsed="false">
      <c r="A4" s="5" t="s">
        <v>133</v>
      </c>
      <c r="B4" s="27" t="n">
        <f aca="false">Допущения!$B$7+Допущения!$B$8+Допущения!$B$9+Допущения!$B$10</f>
        <v>16.8278</v>
      </c>
      <c r="E4" s="7" t="s">
        <v>134</v>
      </c>
    </row>
    <row r="5" customFormat="false" ht="15" hidden="false" customHeight="false" outlineLevel="0" collapsed="false">
      <c r="A5" s="5" t="s">
        <v>135</v>
      </c>
      <c r="B5" s="28" t="n">
        <f aca="false">B4*Допущения!$B$5</f>
        <v>1471.59111</v>
      </c>
      <c r="E5" s="7"/>
    </row>
    <row r="6" customFormat="false" ht="15" hidden="false" customHeight="false" outlineLevel="0" collapsed="false">
      <c r="A6" s="5" t="s">
        <v>43</v>
      </c>
      <c r="B6" s="28" t="n">
        <f aca="false">Допущения!$B$22</f>
        <v>6900</v>
      </c>
      <c r="E6" s="7"/>
    </row>
    <row r="7" customFormat="false" ht="15" hidden="false" customHeight="false" outlineLevel="0" collapsed="false">
      <c r="A7" s="5" t="s">
        <v>136</v>
      </c>
      <c r="B7" s="28" t="n">
        <f aca="false">B6-B5</f>
        <v>5428.40889</v>
      </c>
      <c r="E7" s="7" t="s">
        <v>137</v>
      </c>
    </row>
    <row r="8" customFormat="false" ht="15" hidden="false" customHeight="false" outlineLevel="0" collapsed="false">
      <c r="A8" s="5" t="s">
        <v>138</v>
      </c>
      <c r="B8" s="29" t="n">
        <f aca="false">IF(B6=0,0,B7/B6)</f>
        <v>0.786725926086957</v>
      </c>
      <c r="E8" s="7"/>
    </row>
    <row r="10" customFormat="false" ht="15" hidden="false" customHeight="false" outlineLevel="0" collapsed="false">
      <c r="A10" s="4" t="s">
        <v>139</v>
      </c>
    </row>
    <row r="11" customFormat="false" ht="15" hidden="false" customHeight="false" outlineLevel="0" collapsed="false">
      <c r="A11" s="4" t="s">
        <v>140</v>
      </c>
      <c r="B11" s="11" t="n">
        <v>50</v>
      </c>
      <c r="C11" s="11" t="n">
        <v>200</v>
      </c>
      <c r="D11" s="11" t="n">
        <v>1000</v>
      </c>
      <c r="E11" s="7" t="s">
        <v>141</v>
      </c>
    </row>
    <row r="12" customFormat="false" ht="15" hidden="false" customHeight="false" outlineLevel="0" collapsed="false">
      <c r="A12" s="5" t="s">
        <v>142</v>
      </c>
      <c r="B12" s="28" t="n">
        <f aca="false">Допущения!$B$23</f>
        <v>390</v>
      </c>
      <c r="C12" s="28" t="n">
        <f aca="false">Допущения!$B$23</f>
        <v>390</v>
      </c>
      <c r="D12" s="28" t="n">
        <f aca="false">Допущения!$B$23</f>
        <v>390</v>
      </c>
      <c r="E12" s="7"/>
    </row>
    <row r="13" customFormat="false" ht="15" hidden="false" customHeight="false" outlineLevel="0" collapsed="false">
      <c r="A13" s="5" t="s">
        <v>143</v>
      </c>
      <c r="B13" s="28" t="n">
        <f aca="false">Допущения!$B$23*Допущения!$B$19*Допущения!$B$20</f>
        <v>58.5</v>
      </c>
      <c r="C13" s="28" t="n">
        <f aca="false">Допущения!$B$23*Допущения!$B$19*Допущения!$B$20</f>
        <v>58.5</v>
      </c>
      <c r="D13" s="28" t="n">
        <f aca="false">Допущения!$B$23*Допущения!$B$19*Допущения!$B$20</f>
        <v>58.5</v>
      </c>
      <c r="E13" s="7"/>
    </row>
    <row r="14" customFormat="false" ht="15" hidden="false" customHeight="false" outlineLevel="0" collapsed="false">
      <c r="A14" s="5" t="s">
        <v>144</v>
      </c>
      <c r="B14" s="28" t="n">
        <f aca="false">(Допущения!$B$15+Допущения!$B$16)*Допущения!$B$5/B11</f>
        <v>22.737</v>
      </c>
      <c r="C14" s="28" t="n">
        <f aca="false">(Допущения!$B$15+Допущения!$B$16)*Допущения!$B$5/C11</f>
        <v>5.68425</v>
      </c>
      <c r="D14" s="28" t="n">
        <f aca="false">(Допущения!$B$15+Допущения!$B$16)*Допущения!$B$5/D11</f>
        <v>1.13685</v>
      </c>
      <c r="E14" s="7" t="s">
        <v>145</v>
      </c>
    </row>
    <row r="15" customFormat="false" ht="15" hidden="false" customHeight="false" outlineLevel="0" collapsed="false">
      <c r="A15" s="5" t="s">
        <v>146</v>
      </c>
      <c r="B15" s="28" t="n">
        <f aca="false">(Допущения!$B$17/12)*Допущения!$B$5/B11</f>
        <v>14.42925</v>
      </c>
      <c r="C15" s="28" t="n">
        <f aca="false">(Допущения!$B$17/12)*Допущения!$B$5/C11</f>
        <v>3.6073125</v>
      </c>
      <c r="D15" s="28" t="n">
        <f aca="false">(Допущения!$B$17/12)*Допущения!$B$5/D11</f>
        <v>0.7214625</v>
      </c>
      <c r="E15" s="7" t="s">
        <v>147</v>
      </c>
    </row>
    <row r="16" customFormat="false" ht="15" hidden="false" customHeight="false" outlineLevel="0" collapsed="false">
      <c r="A16" s="4" t="s">
        <v>148</v>
      </c>
      <c r="B16" s="30" t="n">
        <f aca="false">B12-B13-B14-B15</f>
        <v>294.33375</v>
      </c>
      <c r="C16" s="30" t="n">
        <f aca="false">C12-C13-C14-C15</f>
        <v>322.2084375</v>
      </c>
      <c r="D16" s="30" t="n">
        <f aca="false">D12-D13-D14-D15</f>
        <v>329.6416875</v>
      </c>
      <c r="E16" s="7" t="s">
        <v>149</v>
      </c>
    </row>
    <row r="17" customFormat="false" ht="15" hidden="false" customHeight="false" outlineLevel="0" collapsed="false">
      <c r="A17" s="5" t="s">
        <v>150</v>
      </c>
      <c r="B17" s="28" t="n">
        <f aca="false">B16*B11</f>
        <v>14716.6875</v>
      </c>
      <c r="C17" s="28" t="n">
        <f aca="false">C16*C11</f>
        <v>64441.6875</v>
      </c>
      <c r="D17" s="28" t="n">
        <f aca="false">D16*D11</f>
        <v>329641.6875</v>
      </c>
      <c r="E17" s="7"/>
    </row>
    <row r="18" customFormat="false" ht="15" hidden="false" customHeight="false" outlineLevel="0" collapsed="false">
      <c r="A18" s="4" t="s">
        <v>151</v>
      </c>
      <c r="B18" s="30" t="n">
        <f aca="false">B17*12</f>
        <v>176600.25</v>
      </c>
      <c r="C18" s="30" t="n">
        <f aca="false">C17*12</f>
        <v>773300.25</v>
      </c>
      <c r="D18" s="30" t="n">
        <f aca="false">D17*12</f>
        <v>3955700.25</v>
      </c>
      <c r="E18" s="7"/>
    </row>
    <row r="20" customFormat="false" ht="15" hidden="false" customHeight="false" outlineLevel="0" collapsed="false">
      <c r="A20" s="4" t="s">
        <v>152</v>
      </c>
    </row>
    <row r="21" customFormat="false" ht="15" hidden="false" customHeight="false" outlineLevel="0" collapsed="false">
      <c r="A21" s="5" t="s">
        <v>153</v>
      </c>
      <c r="B21" s="28" t="n">
        <f aca="false">Допущения!$B$12*Допущения!$B$13*Допущения!$B$5</f>
        <v>865.755</v>
      </c>
      <c r="E21" s="7" t="s">
        <v>154</v>
      </c>
    </row>
    <row r="22" customFormat="false" ht="15" hidden="false" customHeight="false" outlineLevel="0" collapsed="false">
      <c r="A22" s="5" t="s">
        <v>155</v>
      </c>
      <c r="B22" s="28" t="n">
        <f aca="false">B21*(1+Допущения!$B$24)</f>
        <v>1038.906</v>
      </c>
      <c r="E22" s="7" t="s">
        <v>156</v>
      </c>
    </row>
    <row r="23" customFormat="false" ht="15" hidden="false" customHeight="false" outlineLevel="0" collapsed="false">
      <c r="A23" s="5" t="s">
        <v>157</v>
      </c>
      <c r="B23" s="31" t="n">
        <f aca="false">IF(Допущения!$B$23=0,0,B21/Допущения!$B$23)</f>
        <v>2.21988461538462</v>
      </c>
      <c r="E23" s="7"/>
    </row>
    <row r="24" customFormat="false" ht="15" hidden="false" customHeight="false" outlineLevel="0" collapsed="false">
      <c r="A24" s="5" t="s">
        <v>158</v>
      </c>
      <c r="B24" s="28" t="n">
        <f aca="false">Допущения!$B$23+B22</f>
        <v>1428.906</v>
      </c>
      <c r="E24" s="7"/>
    </row>
    <row r="25" customFormat="false" ht="15" hidden="false" customHeight="false" outlineLevel="0" collapsed="false">
      <c r="A25" s="5" t="s">
        <v>159</v>
      </c>
      <c r="B25" s="29" t="n">
        <f aca="false">IF(Допущения!$B$32=0,0,B24/Допущения!$B$32)</f>
        <v>0.0275382747456059</v>
      </c>
      <c r="E25" s="7"/>
    </row>
    <row r="27" customFormat="false" ht="15" hidden="false" customHeight="false" outlineLevel="0" collapsed="false">
      <c r="A27" s="4" t="s">
        <v>160</v>
      </c>
    </row>
    <row r="28" customFormat="false" ht="15" hidden="false" customHeight="false" outlineLevel="0" collapsed="false">
      <c r="A28" s="5" t="s">
        <v>161</v>
      </c>
      <c r="B28" s="32" t="n">
        <f aca="false">(Допущения!$B$15+Допущения!$B$16+Допущения!$B$17/12)*Допущения!$B$5</f>
        <v>1858.3125</v>
      </c>
    </row>
    <row r="29" customFormat="false" ht="15" hidden="false" customHeight="false" outlineLevel="0" collapsed="false">
      <c r="A29" s="5" t="s">
        <v>162</v>
      </c>
      <c r="B29" s="32" t="n">
        <f aca="false">Допущения!$B$23*(1-Допущения!$B$19*Допущения!$B$20)</f>
        <v>331.5</v>
      </c>
    </row>
    <row r="30" customFormat="false" ht="15" hidden="false" customHeight="false" outlineLevel="0" collapsed="false">
      <c r="A30" s="0" t="s">
        <v>163</v>
      </c>
      <c r="B30" s="33" t="n">
        <f aca="false">IF(B29&lt;=0,0,ROUNDUP(B28/B29,0))</f>
        <v>6</v>
      </c>
      <c r="E30" s="7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2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165</v>
      </c>
    </row>
    <row r="3" customFormat="false" ht="15" hidden="false" customHeight="false" outlineLevel="0" collapsed="false">
      <c r="A3" s="3" t="s">
        <v>166</v>
      </c>
      <c r="B3" s="3" t="s">
        <v>167</v>
      </c>
      <c r="C3" s="3" t="s">
        <v>168</v>
      </c>
      <c r="D3" s="3" t="s">
        <v>169</v>
      </c>
    </row>
    <row r="4" customFormat="false" ht="15" hidden="false" customHeight="false" outlineLevel="0" collapsed="false">
      <c r="A4" s="34" t="s">
        <v>170</v>
      </c>
      <c r="B4" s="35" t="n">
        <f aca="false">Допущения!$B$22+12*'Юнит-экономика'!B24</f>
        <v>24046.872</v>
      </c>
      <c r="C4" s="36" t="n">
        <f aca="false">IF(Допущения!$B$32=0,0,B4/(12*Допущения!$B$32))</f>
        <v>0.0386198350292939</v>
      </c>
      <c r="D4" s="8" t="s">
        <v>171</v>
      </c>
    </row>
    <row r="5" customFormat="false" ht="26.85" hidden="false" customHeight="false" outlineLevel="0" collapsed="false">
      <c r="A5" s="34" t="s">
        <v>172</v>
      </c>
      <c r="B5" s="28" t="n">
        <f aca="false">Допущения!$B$22+12*Допущения!$B$23</f>
        <v>11580</v>
      </c>
      <c r="C5" s="36" t="n">
        <f aca="false">IF(Допущения!$B$32=0,0,B5/(12*Допущения!$B$32))</f>
        <v>0.0185977489978415</v>
      </c>
      <c r="D5" s="8" t="s">
        <v>173</v>
      </c>
    </row>
    <row r="6" customFormat="false" ht="15" hidden="false" customHeight="false" outlineLevel="0" collapsed="false">
      <c r="A6" s="34" t="s">
        <v>174</v>
      </c>
      <c r="B6" s="28" t="n">
        <f aca="false">4*Допущения!$B$26</f>
        <v>6000</v>
      </c>
      <c r="C6" s="36" t="n">
        <f aca="false">IF(Допущения!$B$32=0,0,B6/(12*Допущения!$B$32))</f>
        <v>0.00963613937711995</v>
      </c>
      <c r="D6" s="8" t="s">
        <v>175</v>
      </c>
    </row>
    <row r="7" customFormat="false" ht="15" hidden="false" customHeight="false" outlineLevel="0" collapsed="false">
      <c r="A7" s="34" t="s">
        <v>176</v>
      </c>
      <c r="B7" s="28" t="n">
        <f aca="false">4*Допущения!$B$27</f>
        <v>7200</v>
      </c>
      <c r="C7" s="36" t="n">
        <f aca="false">IF(Допущения!$B$32=0,0,B7/(12*Допущения!$B$32))</f>
        <v>0.0115633672525439</v>
      </c>
      <c r="D7" s="8" t="s">
        <v>175</v>
      </c>
    </row>
    <row r="8" customFormat="false" ht="22.35" hidden="false" customHeight="false" outlineLevel="0" collapsed="false">
      <c r="A8" s="34" t="s">
        <v>177</v>
      </c>
      <c r="B8" s="28" t="n">
        <f aca="false">(Допущения!$B$30+Допущения!$B$31)*Допущения!$B$5</f>
        <v>30432.6</v>
      </c>
      <c r="C8" s="36" t="n">
        <f aca="false">IF(Допущения!$B$32=0,0,B8/(12*Допущения!$B$32))</f>
        <v>0.0488754625346901</v>
      </c>
      <c r="D8" s="8" t="s">
        <v>178</v>
      </c>
    </row>
    <row r="11" customFormat="false" ht="15" hidden="false" customHeight="false" outlineLevel="0" collapsed="false">
      <c r="A11" s="4" t="s">
        <v>179</v>
      </c>
    </row>
    <row r="12" customFormat="false" ht="26.85" hidden="false" customHeight="false" outlineLevel="0" collapsed="false">
      <c r="A12" s="34" t="s">
        <v>180</v>
      </c>
      <c r="B12" s="37" t="n">
        <f aca="false">Допущения!$B$34*Допущения!$B$35</f>
        <v>9500</v>
      </c>
      <c r="D12" s="8" t="s">
        <v>181</v>
      </c>
    </row>
    <row r="13" customFormat="false" ht="26.85" hidden="false" customHeight="false" outlineLevel="0" collapsed="false">
      <c r="A13" s="34" t="s">
        <v>182</v>
      </c>
      <c r="B13" s="38" t="n">
        <f aca="false">'Юнит-экономика'!B30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183</v>
      </c>
    </row>
    <row r="3" customFormat="false" ht="15" hidden="false" customHeight="false" outlineLevel="0" collapsed="false">
      <c r="A3" s="3" t="s">
        <v>184</v>
      </c>
      <c r="B3" s="3" t="s">
        <v>185</v>
      </c>
      <c r="C3" s="3" t="s">
        <v>186</v>
      </c>
    </row>
    <row r="4" customFormat="false" ht="30" hidden="false" customHeight="true" outlineLevel="0" collapsed="false">
      <c r="A4" s="34" t="s">
        <v>187</v>
      </c>
      <c r="B4" s="34" t="s">
        <v>188</v>
      </c>
      <c r="C4" s="34" t="s">
        <v>189</v>
      </c>
    </row>
    <row r="5" customFormat="false" ht="30" hidden="false" customHeight="true" outlineLevel="0" collapsed="false">
      <c r="A5" s="34" t="s">
        <v>190</v>
      </c>
      <c r="B5" s="34" t="s">
        <v>191</v>
      </c>
      <c r="C5" s="34" t="s">
        <v>192</v>
      </c>
    </row>
    <row r="6" customFormat="false" ht="30" hidden="false" customHeight="true" outlineLevel="0" collapsed="false">
      <c r="A6" s="34" t="s">
        <v>193</v>
      </c>
      <c r="B6" s="34" t="s">
        <v>194</v>
      </c>
      <c r="C6" s="34" t="s">
        <v>195</v>
      </c>
    </row>
    <row r="7" customFormat="false" ht="30" hidden="false" customHeight="true" outlineLevel="0" collapsed="false">
      <c r="A7" s="34" t="s">
        <v>196</v>
      </c>
      <c r="B7" s="34" t="s">
        <v>197</v>
      </c>
      <c r="C7" s="34" t="s">
        <v>198</v>
      </c>
    </row>
    <row r="8" customFormat="false" ht="30" hidden="false" customHeight="true" outlineLevel="0" collapsed="false">
      <c r="A8" s="34" t="s">
        <v>199</v>
      </c>
      <c r="B8" s="34" t="s">
        <v>200</v>
      </c>
      <c r="C8" s="34" t="s">
        <v>201</v>
      </c>
    </row>
    <row r="9" customFormat="false" ht="30" hidden="false" customHeight="true" outlineLevel="0" collapsed="false">
      <c r="A9" s="34" t="s">
        <v>202</v>
      </c>
      <c r="B9" s="34" t="s">
        <v>203</v>
      </c>
      <c r="C9" s="34" t="s">
        <v>204</v>
      </c>
    </row>
    <row r="10" customFormat="false" ht="30" hidden="false" customHeight="true" outlineLevel="0" collapsed="false">
      <c r="A10" s="34" t="s">
        <v>205</v>
      </c>
      <c r="B10" s="34" t="s">
        <v>206</v>
      </c>
      <c r="C10" s="34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2026-10-18T09:11:17Z</dcterms:created>
  <dc:creator>openpyxl</dc:creator>
  <dc:description/>
  <dc:language>en-US</dc:language>
  <cp:lastModifiedBy/>
  <dcterms:modified xsi:type="dcterms:W3CDTF">2026-10-18T09:11:17Z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